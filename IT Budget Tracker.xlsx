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3C64F6FF-BD4D-4E14-8036-653AAC157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Overview" sheetId="2" r:id="rId2"/>
    <sheet name="Current Budget" sheetId="3" r:id="rId3"/>
    <sheet name="Actual Expenses" sheetId="4" r:id="rId4"/>
    <sheet name="Forecast" sheetId="5" r:id="rId5"/>
    <sheet name="Variance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6" l="1"/>
  <c r="D5" i="6"/>
  <c r="D4" i="6"/>
  <c r="D3" i="6"/>
  <c r="D2" i="6"/>
  <c r="B4" i="2"/>
  <c r="B3" i="2"/>
  <c r="B5" i="2" s="1"/>
</calcChain>
</file>

<file path=xl/sharedStrings.xml><?xml version="1.0" encoding="utf-8"?>
<sst xmlns="http://schemas.openxmlformats.org/spreadsheetml/2006/main" count="96" uniqueCount="61">
  <si>
    <t>IT Budget Tracker - User Guide</t>
  </si>
  <si>
    <t>1. Enter budget data in Current Budget sheet.</t>
  </si>
  <si>
    <t>2. Record actual expenses in Actual Expenses sheet.</t>
  </si>
  <si>
    <t>3. Update forecast values monthly.</t>
  </si>
  <si>
    <t>4. Review Variance Analysis for overspending.</t>
  </si>
  <si>
    <t>5. Dashboard charts update automatically.</t>
  </si>
  <si>
    <t>6. Use dropdowns for Category and Project Code.</t>
  </si>
  <si>
    <t>IT Budget Management Dashboard</t>
  </si>
  <si>
    <t>Total Budget</t>
  </si>
  <si>
    <t>Total Actual</t>
  </si>
  <si>
    <t>Variance</t>
  </si>
  <si>
    <t>Month</t>
  </si>
  <si>
    <t>Category</t>
  </si>
  <si>
    <t>Description</t>
  </si>
  <si>
    <t>Budget Amount</t>
  </si>
  <si>
    <t>Department</t>
  </si>
  <si>
    <t>Project Code</t>
  </si>
  <si>
    <t>Jan</t>
  </si>
  <si>
    <t>Hardware</t>
  </si>
  <si>
    <t>Laptops</t>
  </si>
  <si>
    <t>IT</t>
  </si>
  <si>
    <t>PRJ001</t>
  </si>
  <si>
    <t>Software</t>
  </si>
  <si>
    <t>Microsoft Licenses</t>
  </si>
  <si>
    <t>PRJ002</t>
  </si>
  <si>
    <t>Maintenance</t>
  </si>
  <si>
    <t>AMC Contracts</t>
  </si>
  <si>
    <t>PRJ003</t>
  </si>
  <si>
    <t>Personnel</t>
  </si>
  <si>
    <t>IT Staff Cost</t>
  </si>
  <si>
    <t>HR</t>
  </si>
  <si>
    <t>PRJ004</t>
  </si>
  <si>
    <t>Other Expenses</t>
  </si>
  <si>
    <t>Training</t>
  </si>
  <si>
    <t>PRJ005</t>
  </si>
  <si>
    <t>Date</t>
  </si>
  <si>
    <t>Actual Amount</t>
  </si>
  <si>
    <t>2026-01-10</t>
  </si>
  <si>
    <t>Dell Laptops</t>
  </si>
  <si>
    <t>2026-01-15</t>
  </si>
  <si>
    <t>Microsoft Renewal</t>
  </si>
  <si>
    <t>2026-01-18</t>
  </si>
  <si>
    <t>Firewall AMC</t>
  </si>
  <si>
    <t>2026-01-25</t>
  </si>
  <si>
    <t>Salary Allocation</t>
  </si>
  <si>
    <t>2026-01-30</t>
  </si>
  <si>
    <t>Training Program</t>
  </si>
  <si>
    <t>Forecast Amount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</si>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</sst>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0408C9F-3D44-4C4B-9245-22019F826B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vs Actual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'Variance Analysis'!$B$1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'Variance Analysis'!$A$2:$A$6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Maintenance</c:v>
                </c:pt>
                <c:pt idx="3">
                  <c:v>Personnel</c:v>
                </c:pt>
                <c:pt idx="4">
                  <c:v>Other Expenses</c:v>
                </c:pt>
              </c:strCache>
            </c:strRef>
          </c:cat>
          <c:val>
            <c:numRef>
              <c:f>'Variance Analysis'!$B$2:$B$6</c:f>
              <c:numCache>
                <c:formatCode>General</c:formatCode>
                <c:ptCount val="5"/>
                <c:pt idx="0">
                  <c:v>500000</c:v>
                </c:pt>
                <c:pt idx="1">
                  <c:v>250000</c:v>
                </c:pt>
                <c:pt idx="2">
                  <c:v>150000</c:v>
                </c:pt>
                <c:pt idx="3">
                  <c:v>800000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B-46FE-AD80-DB272ECF2F62}"/>
            </c:ext>
          </c:extLst>
        </c:ser>
        <c:ser>
          <c:idx val="1"/>
          <c:order val="1"/>
          <c:tx>
            <c:strRef>
              <c:f>'Variance Analysis'!$C$1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'Variance Analysis'!$A$2:$A$6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Maintenance</c:v>
                </c:pt>
                <c:pt idx="3">
                  <c:v>Personnel</c:v>
                </c:pt>
                <c:pt idx="4">
                  <c:v>Other Expenses</c:v>
                </c:pt>
              </c:strCache>
            </c:strRef>
          </c:cat>
          <c:val>
            <c:numRef>
              <c:f>'Variance Analysis'!$C$2:$C$6</c:f>
              <c:numCache>
                <c:formatCode>General</c:formatCode>
                <c:ptCount val="5"/>
                <c:pt idx="0">
                  <c:v>475000</c:v>
                </c:pt>
                <c:pt idx="1">
                  <c:v>260000</c:v>
                </c:pt>
                <c:pt idx="2">
                  <c:v>145000</c:v>
                </c:pt>
                <c:pt idx="3">
                  <c:v>790000</c:v>
                </c:pt>
                <c:pt idx="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B-46FE-AD80-DB272ECF2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Budget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'Variance Analysis'!$B$1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'Variance Analysis'!$A$2:$A$6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Maintenance</c:v>
                </c:pt>
                <c:pt idx="3">
                  <c:v>Personnel</c:v>
                </c:pt>
                <c:pt idx="4">
                  <c:v>Other Expenses</c:v>
                </c:pt>
              </c:strCache>
            </c:strRef>
          </c:cat>
          <c:val>
            <c:numRef>
              <c:f>'Variance Analysis'!$B$2:$B$6</c:f>
              <c:numCache>
                <c:formatCode>General</c:formatCode>
                <c:ptCount val="5"/>
                <c:pt idx="0">
                  <c:v>500000</c:v>
                </c:pt>
                <c:pt idx="1">
                  <c:v>250000</c:v>
                </c:pt>
                <c:pt idx="2">
                  <c:v>150000</c:v>
                </c:pt>
                <c:pt idx="3">
                  <c:v>800000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3-42DD-9A40-FF8B88A2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E26" sqref="E26"/>
    </sheetView>
  </sheetViews>
  <sheetFormatPr defaultRowHeight="15" x14ac:dyDescent="0.25"/>
  <cols>
    <col min="1" max="1" width="22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2" width="22" customWidth="1"/>
  </cols>
  <sheetData>
    <row r="1" spans="1:2" ht="21" x14ac:dyDescent="0.35">
      <c r="A1" s="2" t="s">
        <v>7</v>
      </c>
    </row>
    <row r="3" spans="1:2" x14ac:dyDescent="0.25">
      <c r="A3" t="s">
        <v>8</v>
      </c>
      <c r="B3">
        <f>SUM('Current Budget'!D2:D500)</f>
        <v>1750000</v>
      </c>
    </row>
    <row r="4" spans="1:2" x14ac:dyDescent="0.25">
      <c r="A4" t="s">
        <v>9</v>
      </c>
      <c r="B4">
        <f>SUM('Actual Expenses'!D2:D500)</f>
        <v>1715000</v>
      </c>
    </row>
    <row r="5" spans="1:2" x14ac:dyDescent="0.25">
      <c r="A5" t="s">
        <v>10</v>
      </c>
      <c r="B5">
        <f>B3-B4</f>
        <v>35000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cols>
    <col min="1" max="6" width="22" customWidth="1"/>
  </cols>
  <sheetData>
    <row r="1" spans="1:6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17</v>
      </c>
      <c r="B2" t="s">
        <v>18</v>
      </c>
      <c r="C2" t="s">
        <v>19</v>
      </c>
      <c r="D2">
        <v>500000</v>
      </c>
      <c r="E2" t="s">
        <v>20</v>
      </c>
      <c r="F2" t="s">
        <v>21</v>
      </c>
    </row>
    <row r="3" spans="1:6" x14ac:dyDescent="0.25">
      <c r="A3" t="s">
        <v>17</v>
      </c>
      <c r="B3" t="s">
        <v>22</v>
      </c>
      <c r="C3" t="s">
        <v>23</v>
      </c>
      <c r="D3">
        <v>250000</v>
      </c>
      <c r="E3" t="s">
        <v>20</v>
      </c>
      <c r="F3" t="s">
        <v>24</v>
      </c>
    </row>
    <row r="4" spans="1:6" x14ac:dyDescent="0.25">
      <c r="A4" t="s">
        <v>17</v>
      </c>
      <c r="B4" t="s">
        <v>25</v>
      </c>
      <c r="C4" t="s">
        <v>26</v>
      </c>
      <c r="D4">
        <v>150000</v>
      </c>
      <c r="E4" t="s">
        <v>20</v>
      </c>
      <c r="F4" t="s">
        <v>27</v>
      </c>
    </row>
    <row r="5" spans="1:6" x14ac:dyDescent="0.25">
      <c r="A5" t="s">
        <v>17</v>
      </c>
      <c r="B5" t="s">
        <v>28</v>
      </c>
      <c r="C5" t="s">
        <v>29</v>
      </c>
      <c r="D5">
        <v>800000</v>
      </c>
      <c r="E5" t="s">
        <v>30</v>
      </c>
      <c r="F5" t="s">
        <v>31</v>
      </c>
    </row>
    <row r="6" spans="1:6" x14ac:dyDescent="0.25">
      <c r="A6" t="s">
        <v>17</v>
      </c>
      <c r="B6" t="s">
        <v>32</v>
      </c>
      <c r="C6" t="s">
        <v>33</v>
      </c>
      <c r="D6">
        <v>50000</v>
      </c>
      <c r="E6" t="s">
        <v>20</v>
      </c>
      <c r="F6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" x14ac:dyDescent="0.25"/>
  <cols>
    <col min="1" max="6" width="22" customWidth="1"/>
  </cols>
  <sheetData>
    <row r="1" spans="1:6" x14ac:dyDescent="0.25">
      <c r="A1" s="3" t="s">
        <v>35</v>
      </c>
      <c r="B1" s="3" t="s">
        <v>12</v>
      </c>
      <c r="C1" s="3" t="s">
        <v>13</v>
      </c>
      <c r="D1" s="3" t="s">
        <v>36</v>
      </c>
      <c r="E1" s="3" t="s">
        <v>15</v>
      </c>
      <c r="F1" s="3" t="s">
        <v>16</v>
      </c>
    </row>
    <row r="2" spans="1:6" x14ac:dyDescent="0.25">
      <c r="A2" t="s">
        <v>37</v>
      </c>
      <c r="B2" t="s">
        <v>18</v>
      </c>
      <c r="C2" t="s">
        <v>38</v>
      </c>
      <c r="D2">
        <v>475000</v>
      </c>
      <c r="E2" t="s">
        <v>20</v>
      </c>
      <c r="F2" t="s">
        <v>21</v>
      </c>
    </row>
    <row r="3" spans="1:6" x14ac:dyDescent="0.25">
      <c r="A3" t="s">
        <v>39</v>
      </c>
      <c r="B3" t="s">
        <v>22</v>
      </c>
      <c r="C3" t="s">
        <v>40</v>
      </c>
      <c r="D3">
        <v>260000</v>
      </c>
      <c r="E3" t="s">
        <v>20</v>
      </c>
      <c r="F3" t="s">
        <v>24</v>
      </c>
    </row>
    <row r="4" spans="1:6" x14ac:dyDescent="0.25">
      <c r="A4" t="s">
        <v>41</v>
      </c>
      <c r="B4" t="s">
        <v>25</v>
      </c>
      <c r="C4" t="s">
        <v>42</v>
      </c>
      <c r="D4">
        <v>145000</v>
      </c>
      <c r="E4" t="s">
        <v>20</v>
      </c>
      <c r="F4" t="s">
        <v>27</v>
      </c>
    </row>
    <row r="5" spans="1:6" x14ac:dyDescent="0.25">
      <c r="A5" t="s">
        <v>43</v>
      </c>
      <c r="B5" t="s">
        <v>28</v>
      </c>
      <c r="C5" t="s">
        <v>44</v>
      </c>
      <c r="D5">
        <v>790000</v>
      </c>
      <c r="E5" t="s">
        <v>30</v>
      </c>
      <c r="F5" t="s">
        <v>31</v>
      </c>
    </row>
    <row r="6" spans="1:6" x14ac:dyDescent="0.25">
      <c r="A6" t="s">
        <v>45</v>
      </c>
      <c r="B6" t="s">
        <v>32</v>
      </c>
      <c r="C6" t="s">
        <v>46</v>
      </c>
      <c r="D6">
        <v>45000</v>
      </c>
      <c r="E6" t="s">
        <v>20</v>
      </c>
      <c r="F6" t="s">
        <v>34</v>
      </c>
    </row>
  </sheetData>
  <dataValidations count="2">
    <dataValidation type="list" sqref="B2:B500" xr:uid="{00000000-0002-0000-0300-000000000000}">
      <formula1>"Hardware,Software,Maintenance,Personnel,Other Expenses"</formula1>
    </dataValidation>
    <dataValidation type="list" sqref="F2:F500" xr:uid="{00000000-0002-0000-0300-000001000000}">
      <formula1>"PRJ001,PRJ002,PRJ003,PRJ004,PRJ005"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cols>
    <col min="1" max="2" width="22" customWidth="1"/>
  </cols>
  <sheetData>
    <row r="1" spans="1:2" x14ac:dyDescent="0.25">
      <c r="A1" s="3" t="s">
        <v>11</v>
      </c>
      <c r="B1" s="3" t="s">
        <v>47</v>
      </c>
    </row>
    <row r="2" spans="1:2" x14ac:dyDescent="0.25">
      <c r="A2" t="s">
        <v>17</v>
      </c>
      <c r="B2">
        <v>1000000</v>
      </c>
    </row>
    <row r="3" spans="1:2" x14ac:dyDescent="0.25">
      <c r="A3" t="s">
        <v>48</v>
      </c>
      <c r="B3">
        <v>1000000</v>
      </c>
    </row>
    <row r="4" spans="1:2" x14ac:dyDescent="0.25">
      <c r="A4" t="s">
        <v>49</v>
      </c>
      <c r="B4">
        <v>1000000</v>
      </c>
    </row>
    <row r="5" spans="1:2" x14ac:dyDescent="0.25">
      <c r="A5" t="s">
        <v>50</v>
      </c>
      <c r="B5">
        <v>1000000</v>
      </c>
    </row>
    <row r="6" spans="1:2" x14ac:dyDescent="0.25">
      <c r="A6" t="s">
        <v>51</v>
      </c>
      <c r="B6">
        <v>1000000</v>
      </c>
    </row>
    <row r="7" spans="1:2" x14ac:dyDescent="0.25">
      <c r="A7" t="s">
        <v>52</v>
      </c>
      <c r="B7">
        <v>1000000</v>
      </c>
    </row>
    <row r="8" spans="1:2" x14ac:dyDescent="0.25">
      <c r="A8" t="s">
        <v>53</v>
      </c>
      <c r="B8">
        <v>1000000</v>
      </c>
    </row>
    <row r="9" spans="1:2" x14ac:dyDescent="0.25">
      <c r="A9" t="s">
        <v>54</v>
      </c>
      <c r="B9">
        <v>1000000</v>
      </c>
    </row>
    <row r="10" spans="1:2" x14ac:dyDescent="0.25">
      <c r="A10" t="s">
        <v>55</v>
      </c>
      <c r="B10">
        <v>1000000</v>
      </c>
    </row>
    <row r="11" spans="1:2" x14ac:dyDescent="0.25">
      <c r="A11" t="s">
        <v>56</v>
      </c>
      <c r="B11">
        <v>1000000</v>
      </c>
    </row>
    <row r="12" spans="1:2" x14ac:dyDescent="0.25">
      <c r="A12" t="s">
        <v>57</v>
      </c>
      <c r="B12">
        <v>1000000</v>
      </c>
    </row>
    <row r="13" spans="1:2" x14ac:dyDescent="0.25">
      <c r="A13" t="s">
        <v>58</v>
      </c>
      <c r="B13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5" x14ac:dyDescent="0.25"/>
  <cols>
    <col min="1" max="4" width="22" customWidth="1"/>
  </cols>
  <sheetData>
    <row r="1" spans="1:4" x14ac:dyDescent="0.25">
      <c r="A1" s="3" t="s">
        <v>12</v>
      </c>
      <c r="B1" s="3" t="s">
        <v>59</v>
      </c>
      <c r="C1" s="3" t="s">
        <v>60</v>
      </c>
      <c r="D1" s="3" t="s">
        <v>10</v>
      </c>
    </row>
    <row r="2" spans="1:4" x14ac:dyDescent="0.25">
      <c r="A2" t="s">
        <v>18</v>
      </c>
      <c r="B2">
        <v>500000</v>
      </c>
      <c r="C2">
        <v>475000</v>
      </c>
      <c r="D2">
        <f>B2-C2</f>
        <v>25000</v>
      </c>
    </row>
    <row r="3" spans="1:4" x14ac:dyDescent="0.25">
      <c r="A3" t="s">
        <v>22</v>
      </c>
      <c r="B3">
        <v>250000</v>
      </c>
      <c r="C3">
        <v>260000</v>
      </c>
      <c r="D3">
        <f>B3-C3</f>
        <v>-10000</v>
      </c>
    </row>
    <row r="4" spans="1:4" x14ac:dyDescent="0.25">
      <c r="A4" t="s">
        <v>25</v>
      </c>
      <c r="B4">
        <v>150000</v>
      </c>
      <c r="C4">
        <v>145000</v>
      </c>
      <c r="D4">
        <f>B4-C4</f>
        <v>5000</v>
      </c>
    </row>
    <row r="5" spans="1:4" x14ac:dyDescent="0.25">
      <c r="A5" t="s">
        <v>28</v>
      </c>
      <c r="B5">
        <v>800000</v>
      </c>
      <c r="C5">
        <v>790000</v>
      </c>
      <c r="D5">
        <f>B5-C5</f>
        <v>10000</v>
      </c>
    </row>
    <row r="6" spans="1:4" x14ac:dyDescent="0.25">
      <c r="A6" t="s">
        <v>32</v>
      </c>
      <c r="B6">
        <v>50000</v>
      </c>
      <c r="C6">
        <v>45000</v>
      </c>
      <c r="D6">
        <f>B6-C6</f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Overview</vt:lpstr>
      <vt:lpstr>Current Budget</vt:lpstr>
      <vt:lpstr>Actual Expenses</vt:lpstr>
      <vt:lpstr>Forecast</vt:lpstr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Yatin Sayania</cp:lastModifiedBy>
  <dcterms:created xsi:type="dcterms:W3CDTF">2026-06-03T06:23:19Z</dcterms:created>
  <dcterms:modified xsi:type="dcterms:W3CDTF">2026-06-03T06:24:52Z</dcterms:modified>
</cp:coreProperties>
</file>